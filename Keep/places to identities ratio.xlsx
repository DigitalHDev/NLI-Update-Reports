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eep\NLI-Update-Reports\Keep\"/>
    </mc:Choice>
  </mc:AlternateContent>
  <xr:revisionPtr revIDLastSave="0" documentId="13_ncr:1_{FB48116A-E547-49EB-B0DF-792D1879FEF4}" xr6:coauthVersionLast="47" xr6:coauthVersionMax="47" xr10:uidLastSave="{00000000-0000-0000-0000-000000000000}"/>
  <bookViews>
    <workbookView xWindow="-108" yWindow="-108" windowWidth="23256" windowHeight="12456" xr2:uid="{A26656C8-5969-4C10-AAB1-476F45111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2" i="1" l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D111" i="1"/>
  <c r="C111" i="1"/>
  <c r="B111" i="1"/>
  <c r="D110" i="1"/>
  <c r="C110" i="1"/>
  <c r="B110" i="1"/>
  <c r="D109" i="1"/>
  <c r="C109" i="1"/>
  <c r="B109" i="1"/>
  <c r="D108" i="1"/>
  <c r="E108" i="1" s="1"/>
  <c r="C108" i="1"/>
  <c r="B108" i="1"/>
  <c r="D107" i="1"/>
  <c r="C107" i="1"/>
  <c r="E107" i="1" s="1"/>
  <c r="B107" i="1"/>
  <c r="D106" i="1"/>
  <c r="E106" i="1" s="1"/>
  <c r="C106" i="1"/>
  <c r="B106" i="1"/>
  <c r="D105" i="1"/>
  <c r="E105" i="1" s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E100" i="1" s="1"/>
  <c r="B100" i="1"/>
  <c r="D99" i="1"/>
  <c r="C99" i="1"/>
  <c r="E99" i="1" s="1"/>
  <c r="B99" i="1"/>
  <c r="D98" i="1"/>
  <c r="E98" i="1" s="1"/>
  <c r="C98" i="1"/>
  <c r="B98" i="1"/>
  <c r="D97" i="1"/>
  <c r="C97" i="1"/>
  <c r="B97" i="1"/>
  <c r="D96" i="1"/>
  <c r="C96" i="1"/>
  <c r="B96" i="1"/>
  <c r="D95" i="1"/>
  <c r="C95" i="1"/>
  <c r="E95" i="1" s="1"/>
  <c r="B95" i="1"/>
  <c r="D94" i="1"/>
  <c r="C94" i="1"/>
  <c r="B94" i="1"/>
  <c r="D93" i="1"/>
  <c r="C93" i="1"/>
  <c r="E93" i="1" s="1"/>
  <c r="B93" i="1"/>
  <c r="D92" i="1"/>
  <c r="C92" i="1"/>
  <c r="E92" i="1" s="1"/>
  <c r="B92" i="1"/>
  <c r="D91" i="1"/>
  <c r="E91" i="1" s="1"/>
  <c r="C91" i="1"/>
  <c r="B91" i="1"/>
  <c r="D90" i="1"/>
  <c r="C90" i="1"/>
  <c r="B90" i="1"/>
  <c r="D89" i="1"/>
  <c r="C89" i="1"/>
  <c r="B89" i="1"/>
  <c r="D88" i="1"/>
  <c r="E88" i="1" s="1"/>
  <c r="C88" i="1"/>
  <c r="B88" i="1"/>
  <c r="D87" i="1"/>
  <c r="C87" i="1"/>
  <c r="E87" i="1" s="1"/>
  <c r="B87" i="1"/>
  <c r="D86" i="1"/>
  <c r="E86" i="1" s="1"/>
  <c r="C86" i="1"/>
  <c r="B86" i="1"/>
  <c r="D85" i="1"/>
  <c r="C85" i="1"/>
  <c r="E85" i="1" s="1"/>
  <c r="B85" i="1"/>
  <c r="D84" i="1"/>
  <c r="C84" i="1"/>
  <c r="B84" i="1"/>
  <c r="D83" i="1"/>
  <c r="C83" i="1"/>
  <c r="B83" i="1"/>
  <c r="D82" i="1"/>
  <c r="C82" i="1"/>
  <c r="B82" i="1"/>
  <c r="E82" i="1" s="1"/>
  <c r="D81" i="1"/>
  <c r="C81" i="1"/>
  <c r="B81" i="1"/>
  <c r="E81" i="1" s="1"/>
  <c r="D80" i="1"/>
  <c r="C80" i="1"/>
  <c r="E80" i="1" s="1"/>
  <c r="B80" i="1"/>
  <c r="D79" i="1"/>
  <c r="C79" i="1"/>
  <c r="E79" i="1" s="1"/>
  <c r="B79" i="1"/>
  <c r="D78" i="1"/>
  <c r="E78" i="1" s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E74" i="1" s="1"/>
  <c r="D73" i="1"/>
  <c r="C73" i="1"/>
  <c r="E73" i="1" s="1"/>
  <c r="B73" i="1"/>
  <c r="D72" i="1"/>
  <c r="C72" i="1"/>
  <c r="E72" i="1" s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E65" i="1" s="1"/>
  <c r="B65" i="1"/>
  <c r="D64" i="1"/>
  <c r="C64" i="1"/>
  <c r="B64" i="1"/>
  <c r="E64" i="1" s="1"/>
  <c r="D63" i="1"/>
  <c r="C63" i="1"/>
  <c r="B63" i="1"/>
  <c r="D62" i="1"/>
  <c r="C62" i="1"/>
  <c r="B62" i="1"/>
  <c r="E62" i="1" s="1"/>
  <c r="D61" i="1"/>
  <c r="C61" i="1"/>
  <c r="B61" i="1"/>
  <c r="D60" i="1"/>
  <c r="C60" i="1"/>
  <c r="E60" i="1" s="1"/>
  <c r="B60" i="1"/>
  <c r="D59" i="1"/>
  <c r="C59" i="1"/>
  <c r="E59" i="1" s="1"/>
  <c r="B59" i="1"/>
  <c r="D58" i="1"/>
  <c r="C58" i="1"/>
  <c r="E58" i="1" s="1"/>
  <c r="B58" i="1"/>
  <c r="D57" i="1"/>
  <c r="C57" i="1"/>
  <c r="B57" i="1"/>
  <c r="D56" i="1"/>
  <c r="C56" i="1"/>
  <c r="B56" i="1"/>
  <c r="D55" i="1"/>
  <c r="C55" i="1"/>
  <c r="B55" i="1"/>
  <c r="D54" i="1"/>
  <c r="C54" i="1"/>
  <c r="E54" i="1" s="1"/>
  <c r="B54" i="1"/>
  <c r="D53" i="1"/>
  <c r="C53" i="1"/>
  <c r="E53" i="1" s="1"/>
  <c r="B53" i="1"/>
  <c r="D52" i="1"/>
  <c r="C52" i="1"/>
  <c r="E52" i="1" s="1"/>
  <c r="B52" i="1"/>
  <c r="D51" i="1"/>
  <c r="E51" i="1" s="1"/>
  <c r="C51" i="1"/>
  <c r="B51" i="1"/>
  <c r="D50" i="1"/>
  <c r="C50" i="1"/>
  <c r="B50" i="1"/>
  <c r="D49" i="1"/>
  <c r="C49" i="1"/>
  <c r="B49" i="1"/>
  <c r="D48" i="1"/>
  <c r="E48" i="1" s="1"/>
  <c r="C48" i="1"/>
  <c r="B48" i="1"/>
  <c r="D47" i="1"/>
  <c r="C47" i="1"/>
  <c r="E47" i="1" s="1"/>
  <c r="B47" i="1"/>
  <c r="D46" i="1"/>
  <c r="E46" i="1" s="1"/>
  <c r="C46" i="1"/>
  <c r="B46" i="1"/>
  <c r="D45" i="1"/>
  <c r="C45" i="1"/>
  <c r="E45" i="1" s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E39" i="1" s="1"/>
  <c r="B39" i="1"/>
  <c r="D38" i="1"/>
  <c r="E38" i="1" s="1"/>
  <c r="C38" i="1"/>
  <c r="B38" i="1"/>
  <c r="D37" i="1"/>
  <c r="C37" i="1"/>
  <c r="B37" i="1"/>
  <c r="D36" i="1"/>
  <c r="C36" i="1"/>
  <c r="B36" i="1"/>
  <c r="D35" i="1"/>
  <c r="C35" i="1"/>
  <c r="E35" i="1" s="1"/>
  <c r="B35" i="1"/>
  <c r="D34" i="1"/>
  <c r="C34" i="1"/>
  <c r="B34" i="1"/>
  <c r="D33" i="1"/>
  <c r="C33" i="1"/>
  <c r="E33" i="1" s="1"/>
  <c r="B33" i="1"/>
  <c r="D32" i="1"/>
  <c r="C32" i="1"/>
  <c r="E32" i="1" s="1"/>
  <c r="B32" i="1"/>
  <c r="D31" i="1"/>
  <c r="E31" i="1" s="1"/>
  <c r="C31" i="1"/>
  <c r="B31" i="1"/>
  <c r="D30" i="1"/>
  <c r="C30" i="1"/>
  <c r="B30" i="1"/>
  <c r="D29" i="1"/>
  <c r="E29" i="1" s="1"/>
  <c r="C29" i="1"/>
  <c r="B29" i="1"/>
  <c r="D28" i="1"/>
  <c r="E28" i="1" s="1"/>
  <c r="C28" i="1"/>
  <c r="B28" i="1"/>
  <c r="D27" i="1"/>
  <c r="C27" i="1"/>
  <c r="E27" i="1" s="1"/>
  <c r="B27" i="1"/>
  <c r="D26" i="1"/>
  <c r="C26" i="1"/>
  <c r="E26" i="1" s="1"/>
  <c r="B26" i="1"/>
  <c r="D25" i="1"/>
  <c r="C25" i="1"/>
  <c r="E25" i="1" s="1"/>
  <c r="B25" i="1"/>
  <c r="D24" i="1"/>
  <c r="C24" i="1"/>
  <c r="B24" i="1"/>
  <c r="D23" i="1"/>
  <c r="C23" i="1"/>
  <c r="B23" i="1"/>
  <c r="E23" i="1" s="1"/>
  <c r="D22" i="1"/>
  <c r="C22" i="1"/>
  <c r="E22" i="1" s="1"/>
  <c r="B22" i="1"/>
  <c r="D21" i="1"/>
  <c r="C21" i="1"/>
  <c r="E21" i="1" s="1"/>
  <c r="B21" i="1"/>
  <c r="D20" i="1"/>
  <c r="C20" i="1"/>
  <c r="E20" i="1" s="1"/>
  <c r="B20" i="1"/>
  <c r="D19" i="1"/>
  <c r="C19" i="1"/>
  <c r="E19" i="1" s="1"/>
  <c r="B19" i="1"/>
  <c r="D18" i="1"/>
  <c r="C18" i="1"/>
  <c r="E18" i="1" s="1"/>
  <c r="B18" i="1"/>
  <c r="D17" i="1"/>
  <c r="C17" i="1"/>
  <c r="B17" i="1"/>
  <c r="D16" i="1"/>
  <c r="C16" i="1"/>
  <c r="B16" i="1"/>
  <c r="D15" i="1"/>
  <c r="C15" i="1"/>
  <c r="E15" i="1" s="1"/>
  <c r="B15" i="1"/>
  <c r="D14" i="1"/>
  <c r="C14" i="1"/>
  <c r="E14" i="1" s="1"/>
  <c r="B14" i="1"/>
  <c r="D13" i="1"/>
  <c r="C13" i="1"/>
  <c r="E13" i="1" s="1"/>
  <c r="B13" i="1"/>
  <c r="D12" i="1"/>
  <c r="C12" i="1"/>
  <c r="E12" i="1" s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E7" i="1" s="1"/>
  <c r="B7" i="1"/>
  <c r="D6" i="1"/>
  <c r="C6" i="1"/>
  <c r="E6" i="1" s="1"/>
  <c r="B6" i="1"/>
  <c r="D5" i="1"/>
  <c r="C5" i="1"/>
  <c r="E5" i="1" s="1"/>
  <c r="B5" i="1"/>
  <c r="D4" i="1"/>
  <c r="C4" i="1"/>
  <c r="B4" i="1"/>
  <c r="D3" i="1"/>
  <c r="C3" i="1"/>
  <c r="B3" i="1"/>
  <c r="E3" i="1" s="1"/>
  <c r="D2" i="1"/>
  <c r="C2" i="1"/>
  <c r="E2" i="1" s="1"/>
  <c r="B2" i="1"/>
  <c r="D112" i="1"/>
  <c r="C112" i="1"/>
  <c r="B112" i="1"/>
  <c r="D1" i="1"/>
  <c r="C1" i="1"/>
  <c r="B1" i="1"/>
  <c r="E109" i="1"/>
  <c r="E103" i="1"/>
  <c r="E102" i="1"/>
  <c r="E101" i="1"/>
  <c r="E89" i="1"/>
  <c r="E83" i="1"/>
  <c r="E75" i="1"/>
  <c r="E69" i="1"/>
  <c r="E61" i="1"/>
  <c r="E55" i="1"/>
  <c r="E49" i="1"/>
  <c r="E42" i="1"/>
  <c r="E41" i="1"/>
  <c r="E40" i="1"/>
  <c r="E111" i="1"/>
  <c r="E110" i="1"/>
  <c r="E104" i="1"/>
  <c r="E97" i="1"/>
  <c r="E96" i="1"/>
  <c r="E94" i="1"/>
  <c r="E90" i="1"/>
  <c r="E84" i="1"/>
  <c r="E77" i="1"/>
  <c r="E76" i="1"/>
  <c r="E71" i="1"/>
  <c r="E70" i="1"/>
  <c r="E68" i="1"/>
  <c r="E67" i="1"/>
  <c r="E66" i="1"/>
  <c r="E63" i="1"/>
  <c r="E57" i="1"/>
  <c r="E56" i="1"/>
  <c r="E50" i="1"/>
  <c r="E44" i="1"/>
  <c r="E43" i="1"/>
  <c r="E37" i="1"/>
  <c r="E36" i="1"/>
  <c r="E34" i="1"/>
  <c r="E30" i="1"/>
  <c r="E24" i="1"/>
  <c r="E17" i="1"/>
  <c r="E16" i="1"/>
  <c r="E11" i="1"/>
  <c r="E10" i="1"/>
  <c r="E9" i="1"/>
  <c r="E8" i="1"/>
  <c r="E4" i="1"/>
  <c r="B114" i="1" l="1"/>
  <c r="E112" i="1"/>
  <c r="E115" i="1" s="1"/>
  <c r="E114" i="1" l="1"/>
</calcChain>
</file>

<file path=xl/sharedStrings.xml><?xml version="1.0" encoding="utf-8"?>
<sst xmlns="http://schemas.openxmlformats.org/spreadsheetml/2006/main" count="112" uniqueCount="112">
  <si>
    <t>filename,numProcessedItems,numModifiedItems,numNewItems</t>
  </si>
  <si>
    <t>places_20240617-20240623.json,134,0,0</t>
  </si>
  <si>
    <t>places_20240624-20240630.json,232,0,0</t>
  </si>
  <si>
    <t>places_20240701-20240707.json,3695,3,17</t>
  </si>
  <si>
    <t>places_20240708-20240714.json,891,0,0</t>
  </si>
  <si>
    <t>places_20240715-20240721.json,1548,1,0</t>
  </si>
  <si>
    <t>places_20240722-20240728.json,1102,0,0</t>
  </si>
  <si>
    <t>places_20240729-20240804.json,1885,0,21</t>
  </si>
  <si>
    <t>places_20240805-20240811.json,2109,0,0</t>
  </si>
  <si>
    <t>places_20240812-20240818.json,1152,1,0</t>
  </si>
  <si>
    <t>places_20240819-20240825.json,868,0,3</t>
  </si>
  <si>
    <t>places_20240826-20240901.json,711,1,0</t>
  </si>
  <si>
    <t>places_20240902-20240908.json,2698,1,19</t>
  </si>
  <si>
    <t>places_20240909-20240915.json,0,0,0</t>
  </si>
  <si>
    <t>places_20240916-20240922.json,1443,0,1</t>
  </si>
  <si>
    <t>places_20240923-20240929.json,764,6,0</t>
  </si>
  <si>
    <t>places_20240930-20241006.json,864,0,0</t>
  </si>
  <si>
    <t>places_20241007-20241013.json,1622,4,107</t>
  </si>
  <si>
    <t>places_20241014-20241020.json,5683,0,2210</t>
  </si>
  <si>
    <t>places_20241021-20241027.json,329,0,10</t>
  </si>
  <si>
    <t>places_20241028-20241103.json,28454,43,1</t>
  </si>
  <si>
    <t>places_20241104-20241110.json,1481,0,11</t>
  </si>
  <si>
    <t>places_20241111-20241117.json,19237,10,4</t>
  </si>
  <si>
    <t>places_20241118-20241124.json,13741,83,352</t>
  </si>
  <si>
    <t>places_20241125-20241201.json,1784,2,13</t>
  </si>
  <si>
    <t>places_20241202-20241208.json,5102,0,5</t>
  </si>
  <si>
    <t>places_20241209-20241215.json,59731,0,5</t>
  </si>
  <si>
    <t>places_20241216-20241222.json,692,1,33</t>
  </si>
  <si>
    <t>places_20241223-20241229.json,5307,0,18</t>
  </si>
  <si>
    <t>places_20241230-20241231.json,181,0,1</t>
  </si>
  <si>
    <t>places_20250101-20250107.json,1066,0,3</t>
  </si>
  <si>
    <t>places_20250108-20250114.json,4986,9,0</t>
  </si>
  <si>
    <t>places_20250115-20250121.json,63346,931,34</t>
  </si>
  <si>
    <t>places_20250122-20250128.json,35370,1254,51</t>
  </si>
  <si>
    <t>places_20250129-20250204.json,38874,1576,2521</t>
  </si>
  <si>
    <t>places_20250205-20250211.json,0,0,0</t>
  </si>
  <si>
    <t>places_20250212-20250218.json,23253,1607,53</t>
  </si>
  <si>
    <t>places_20250219-20250225.json,0,0,0</t>
  </si>
  <si>
    <t>places_20250226-20250304.json,0,0,0</t>
  </si>
  <si>
    <t>places_20250305-20250311.json,24094,10,2</t>
  </si>
  <si>
    <t>places_20250312-20250318.json,33762,232,48</t>
  </si>
  <si>
    <t>places_20250319-20250325.json,29178,9,11</t>
  </si>
  <si>
    <t>places_20250326-20250401.json,36075,5,10</t>
  </si>
  <si>
    <t>places_20250402-20250408.json,8553,82,112</t>
  </si>
  <si>
    <t>places_20250409-20250415.json,13380,47,497</t>
  </si>
  <si>
    <t>places_20250416-20250422.json,35919,63,312</t>
  </si>
  <si>
    <t>places_20250423-20250429.json,0,0,0</t>
  </si>
  <si>
    <t>places_20250430-20250506.json,57618,9,11</t>
  </si>
  <si>
    <t>places_20250507-20250513.json,5962,7,19</t>
  </si>
  <si>
    <t>places_20250514-20250520.json,9425,10,64</t>
  </si>
  <si>
    <t>places_20250521-20250527.json,18506,3,69</t>
  </si>
  <si>
    <t>places_20250528-20250603.json,12413,145,58</t>
  </si>
  <si>
    <t>places_20250604-20250610.json,7458,6,35</t>
  </si>
  <si>
    <t>places_20250611-20250617.json,16801,2,8</t>
  </si>
  <si>
    <t>places_20250618-20250624.json,16182,16,62</t>
  </si>
  <si>
    <t>places_20250625-20250630.json,21026,47,31</t>
  </si>
  <si>
    <t>places_20250701-20250707.json,52017,1,5</t>
  </si>
  <si>
    <t>places_20250708-20250714.json,13643,1,20</t>
  </si>
  <si>
    <t>places_20250715-20250721.json,15017,1,14</t>
  </si>
  <si>
    <t>places_20250722-20250728.json,30378,0,5</t>
  </si>
  <si>
    <t>places_20250729-20250804.json,14047,0,28</t>
  </si>
  <si>
    <t>places_20250805-20250811.json,20851,10,62</t>
  </si>
  <si>
    <t>places_20250812-20250818.json,0,0,0</t>
  </si>
  <si>
    <t>places_20250819-20250825.json,0,0,0</t>
  </si>
  <si>
    <t>places_20250826-20250901.json,20109,4,102</t>
  </si>
  <si>
    <t>places_20250902-20250908.json,10418,1,55</t>
  </si>
  <si>
    <t>places_20250909-20250915.json,27892,10,31</t>
  </si>
  <si>
    <t>places_20250916-20250922.json,3454,4,4</t>
  </si>
  <si>
    <t>places_20250923-20250929.json,4396,0,146</t>
  </si>
  <si>
    <t>places_20250930-20251006.json,12386,7,21</t>
  </si>
  <si>
    <t>places_20251007-20251013.json,0,0,0</t>
  </si>
  <si>
    <t>places_20251014-20251020.json,8167,27,2</t>
  </si>
  <si>
    <t>places_20251021-20251027.json,20187,4,33</t>
  </si>
  <si>
    <t>places_20251028-20251103.json,10272,1,14</t>
  </si>
  <si>
    <t>places_20251104-20251110.json,0,0,0</t>
  </si>
  <si>
    <t>places_20251111-20251117.json,19646,11,18</t>
  </si>
  <si>
    <t>places_20251118-20251124.json,15314,5,8</t>
  </si>
  <si>
    <t>places_20251125-20251201.json,13275,11,22</t>
  </si>
  <si>
    <t>places_20251202-20251208.json,8176,13,40</t>
  </si>
  <si>
    <t>places_20251209-20251215.json,5696,1,59</t>
  </si>
  <si>
    <t>places_20251216-20251222.json,14189,67,71</t>
  </si>
  <si>
    <t>places_20251223-20251229.json,20383,19,60</t>
  </si>
  <si>
    <t>places_20251230-20251231.json,17804,0,0</t>
  </si>
  <si>
    <t>places_20260101-20260107.json,12589,32,53</t>
  </si>
  <si>
    <t>places_20260108-20260114.json,0,0,0</t>
  </si>
  <si>
    <t>places_20260115-20260121.json,21645,117,480</t>
  </si>
  <si>
    <t>places_20260122-20260128.json,0,0,0</t>
  </si>
  <si>
    <t>places_20260129-20260204.json,5054,15,38</t>
  </si>
  <si>
    <t>places_20260205-20260211.json,2229,16,31</t>
  </si>
  <si>
    <t>places_20260212-20260218.json,27417,1032,609</t>
  </si>
  <si>
    <t>places_20260219-20260225.json,13492,971,8910</t>
  </si>
  <si>
    <t>places_20260226-20260304.json,0,0,0</t>
  </si>
  <si>
    <t>places_20260305-20260311.json,5013,24,388</t>
  </si>
  <si>
    <t>places_20260312-20260318.json,4375,37,56</t>
  </si>
  <si>
    <t>places_20260319-20260325.json,8173,55,40</t>
  </si>
  <si>
    <t>places_20260326-20260401.json,0,0,0</t>
  </si>
  <si>
    <t>places_20260402-20260408.json,0,0,0</t>
  </si>
  <si>
    <t>places_20260409-20260415.json,3001,46,71</t>
  </si>
  <si>
    <t>places_20260416-20260422.json,4422,1,12</t>
  </si>
  <si>
    <t>places_20260423-20260429.json,1090,1,8</t>
  </si>
  <si>
    <t>places_20260430-20260506.json,0,0,0</t>
  </si>
  <si>
    <t>places_20260507-20260513.json,0,0,0</t>
  </si>
  <si>
    <t>places_20260514-20260520.json,3926,36,67</t>
  </si>
  <si>
    <t>places_20260521-20260527.json,4416,6,9</t>
  </si>
  <si>
    <t>places_20260528-20260603.json,15763,8,104</t>
  </si>
  <si>
    <t>places_20260604-20260610.json,2033,5,6</t>
  </si>
  <si>
    <t>places_20260611-20260617.json,3171,34,123</t>
  </si>
  <si>
    <t>places_20260618-20260624.json,12179,69,191</t>
  </si>
  <si>
    <t>places_20260625-20260630.json,21357,183,455</t>
  </si>
  <si>
    <t>places_20260701-20260707.json,24532,58,66</t>
  </si>
  <si>
    <t>places_20260708-20260714.json,5240,3,0</t>
  </si>
  <si>
    <t>places_20260715-20260721.json,3459,0,23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</si>
</sst>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57D7-6491-4A58-B9B0-C845A1D16BB7}">
  <dimension ref="A1:F115"/>
  <sheetViews>
    <sheetView tabSelected="1" topLeftCell="A82" workbookViewId="0">
      <selection activeCell="A82" sqref="A82"/>
    </sheetView>
  </sheetViews>
  <sheetFormatPr defaultRowHeight="14.4" x14ac:dyDescent="0.3"/>
  <cols>
    <col min="1" max="1" width="42.88671875" bestFit="1" customWidth="1"/>
    <col min="2" max="2" width="17.5546875" bestFit="1" customWidth="1"/>
    <col min="3" max="3" width="16.5546875" bestFit="1" customWidth="1"/>
    <col min="4" max="4" width="12.88671875" bestFit="1" customWidth="1"/>
  </cols>
  <sheetData>
    <row r="1" spans="1:6" x14ac:dyDescent="0.3">
      <c r="A1" s="1" t="s">
        <v>0</v>
      </c>
      <c r="B1" t="str">
        <f>MID(A1,FIND(",",A1)+1,FIND(",",A1,FIND(",",A1)+1)-FIND(",",A1)-1)</f>
        <v>numProcessedItems</v>
      </c>
      <c r="C1" t="str">
        <f>MID(A1,FIND(",",A1,FIND(",",A1)+1)+1,FIND(",",A1,FIND(",",A1,FIND(",",A1)+1)+1)-FIND(",",A1,FIND(",",A1)+1)-1)</f>
        <v>numModifiedItems</v>
      </c>
      <c r="D1" t="str">
        <f>RIGHT(A1,LEN(A1)-FIND(",",A1,FIND(",",A1,FIND(",",A1)+1)+1))</f>
        <v>numNewItems</v>
      </c>
    </row>
    <row r="2" spans="1:6" x14ac:dyDescent="0.3">
      <c r="A2" t="s">
        <v>1</v>
      </c>
      <c r="B2">
        <f t="shared" ref="B2:B65" si="0">VALUE(MID(A2,FIND(",",A2)+1,FIND(",",A2,FIND(",",A2)+1)-FIND(",",A2)-1))</f>
        <v>134</v>
      </c>
      <c r="C2">
        <f t="shared" ref="C2:C65" si="1">VALUE(MID(A2,FIND(",",A2,FIND(",",A2)+1)+1,FIND(",",A2,FIND(",",A2,FIND(",",A2)+1)+1)-FIND(",",A2,FIND(",",A2)+1)-1))</f>
        <v>0</v>
      </c>
      <c r="D2">
        <f t="shared" ref="D2:D65" si="2">VALUE(RIGHT(A2,LEN(A2)-FIND(",",A2,FIND(",",A2,FIND(",",A2)+1)+1)))</f>
        <v>0</v>
      </c>
      <c r="E2">
        <f t="shared" ref="E2:E13" si="3">+IFERROR((C2+D2)/B2,"")</f>
        <v>0</v>
      </c>
      <c r="F2" t="str">
        <f>IF(E2&gt;0.7,"x","")</f>
        <v/>
      </c>
    </row>
    <row r="3" spans="1:6" x14ac:dyDescent="0.3">
      <c r="A3" t="s">
        <v>2</v>
      </c>
      <c r="B3">
        <f t="shared" si="0"/>
        <v>232</v>
      </c>
      <c r="C3">
        <f t="shared" si="1"/>
        <v>0</v>
      </c>
      <c r="D3">
        <f t="shared" si="2"/>
        <v>0</v>
      </c>
      <c r="E3">
        <f t="shared" si="3"/>
        <v>0</v>
      </c>
      <c r="F3" t="str">
        <f t="shared" ref="F3:F66" si="4">IF(E3&gt;0.7,"x","")</f>
        <v/>
      </c>
    </row>
    <row r="4" spans="1:6" x14ac:dyDescent="0.3">
      <c r="A4" t="s">
        <v>3</v>
      </c>
      <c r="B4">
        <f t="shared" si="0"/>
        <v>3695</v>
      </c>
      <c r="C4">
        <f t="shared" si="1"/>
        <v>3</v>
      </c>
      <c r="D4">
        <f t="shared" si="2"/>
        <v>17</v>
      </c>
      <c r="E4">
        <f t="shared" si="3"/>
        <v>5.4127198917456026E-3</v>
      </c>
      <c r="F4" t="str">
        <f t="shared" si="4"/>
        <v/>
      </c>
    </row>
    <row r="5" spans="1:6" x14ac:dyDescent="0.3">
      <c r="A5" t="s">
        <v>4</v>
      </c>
      <c r="B5">
        <f t="shared" si="0"/>
        <v>891</v>
      </c>
      <c r="C5">
        <f t="shared" si="1"/>
        <v>0</v>
      </c>
      <c r="D5">
        <f t="shared" si="2"/>
        <v>0</v>
      </c>
      <c r="E5">
        <f t="shared" si="3"/>
        <v>0</v>
      </c>
      <c r="F5" t="str">
        <f t="shared" si="4"/>
        <v/>
      </c>
    </row>
    <row r="6" spans="1:6" x14ac:dyDescent="0.3">
      <c r="A6" t="s">
        <v>5</v>
      </c>
      <c r="B6">
        <f t="shared" si="0"/>
        <v>1548</v>
      </c>
      <c r="C6">
        <f t="shared" si="1"/>
        <v>1</v>
      </c>
      <c r="D6">
        <f t="shared" si="2"/>
        <v>0</v>
      </c>
      <c r="E6">
        <f t="shared" si="3"/>
        <v>6.459948320413437E-4</v>
      </c>
      <c r="F6" t="str">
        <f t="shared" si="4"/>
        <v/>
      </c>
    </row>
    <row r="7" spans="1:6" x14ac:dyDescent="0.3">
      <c r="A7" t="s">
        <v>6</v>
      </c>
      <c r="B7">
        <f t="shared" si="0"/>
        <v>1102</v>
      </c>
      <c r="C7">
        <f t="shared" si="1"/>
        <v>0</v>
      </c>
      <c r="D7">
        <f t="shared" si="2"/>
        <v>0</v>
      </c>
      <c r="E7">
        <f t="shared" si="3"/>
        <v>0</v>
      </c>
      <c r="F7" t="str">
        <f t="shared" si="4"/>
        <v/>
      </c>
    </row>
    <row r="8" spans="1:6" x14ac:dyDescent="0.3">
      <c r="A8" t="s">
        <v>7</v>
      </c>
      <c r="B8">
        <f t="shared" si="0"/>
        <v>1885</v>
      </c>
      <c r="C8">
        <f t="shared" si="1"/>
        <v>0</v>
      </c>
      <c r="D8">
        <f t="shared" si="2"/>
        <v>21</v>
      </c>
      <c r="E8">
        <f t="shared" si="3"/>
        <v>1.1140583554376658E-2</v>
      </c>
      <c r="F8" t="str">
        <f t="shared" si="4"/>
        <v/>
      </c>
    </row>
    <row r="9" spans="1:6" x14ac:dyDescent="0.3">
      <c r="A9" t="s">
        <v>8</v>
      </c>
      <c r="B9">
        <f t="shared" si="0"/>
        <v>2109</v>
      </c>
      <c r="C9">
        <f t="shared" si="1"/>
        <v>0</v>
      </c>
      <c r="D9">
        <f t="shared" si="2"/>
        <v>0</v>
      </c>
      <c r="E9">
        <f t="shared" si="3"/>
        <v>0</v>
      </c>
      <c r="F9" t="str">
        <f t="shared" si="4"/>
        <v/>
      </c>
    </row>
    <row r="10" spans="1:6" x14ac:dyDescent="0.3">
      <c r="A10" t="s">
        <v>9</v>
      </c>
      <c r="B10">
        <f t="shared" si="0"/>
        <v>1152</v>
      </c>
      <c r="C10">
        <f t="shared" si="1"/>
        <v>1</v>
      </c>
      <c r="D10">
        <f t="shared" si="2"/>
        <v>0</v>
      </c>
      <c r="E10">
        <f t="shared" si="3"/>
        <v>8.6805555555555551E-4</v>
      </c>
      <c r="F10" t="str">
        <f t="shared" si="4"/>
        <v/>
      </c>
    </row>
    <row r="11" spans="1:6" x14ac:dyDescent="0.3">
      <c r="A11" t="s">
        <v>10</v>
      </c>
      <c r="B11">
        <f t="shared" si="0"/>
        <v>868</v>
      </c>
      <c r="C11">
        <f t="shared" si="1"/>
        <v>0</v>
      </c>
      <c r="D11">
        <f t="shared" si="2"/>
        <v>3</v>
      </c>
      <c r="E11">
        <f t="shared" si="3"/>
        <v>3.4562211981566822E-3</v>
      </c>
      <c r="F11" t="str">
        <f t="shared" si="4"/>
        <v/>
      </c>
    </row>
    <row r="12" spans="1:6" x14ac:dyDescent="0.3">
      <c r="A12" t="s">
        <v>11</v>
      </c>
      <c r="B12">
        <f t="shared" si="0"/>
        <v>711</v>
      </c>
      <c r="C12">
        <f t="shared" si="1"/>
        <v>1</v>
      </c>
      <c r="D12">
        <f t="shared" si="2"/>
        <v>0</v>
      </c>
      <c r="E12">
        <f t="shared" si="3"/>
        <v>1.4064697609001407E-3</v>
      </c>
      <c r="F12" t="str">
        <f t="shared" si="4"/>
        <v/>
      </c>
    </row>
    <row r="13" spans="1:6" x14ac:dyDescent="0.3">
      <c r="A13" t="s">
        <v>12</v>
      </c>
      <c r="B13">
        <f t="shared" si="0"/>
        <v>2698</v>
      </c>
      <c r="C13">
        <f t="shared" si="1"/>
        <v>1</v>
      </c>
      <c r="D13">
        <f t="shared" si="2"/>
        <v>19</v>
      </c>
      <c r="E13">
        <f t="shared" si="3"/>
        <v>7.4128984432913266E-3</v>
      </c>
      <c r="F13" t="str">
        <f t="shared" si="4"/>
        <v/>
      </c>
    </row>
    <row r="14" spans="1:6" x14ac:dyDescent="0.3">
      <c r="A14" t="s">
        <v>13</v>
      </c>
      <c r="B14">
        <f t="shared" si="0"/>
        <v>0</v>
      </c>
      <c r="C14">
        <f t="shared" si="1"/>
        <v>0</v>
      </c>
      <c r="D14">
        <f t="shared" si="2"/>
        <v>0</v>
      </c>
      <c r="E14" t="str">
        <f>+IFERROR((C14+D14)/B14,"")</f>
        <v/>
      </c>
      <c r="F14" t="str">
        <f t="shared" si="4"/>
        <v>x</v>
      </c>
    </row>
    <row r="15" spans="1:6" x14ac:dyDescent="0.3">
      <c r="A15" t="s">
        <v>14</v>
      </c>
      <c r="B15">
        <f t="shared" si="0"/>
        <v>1443</v>
      </c>
      <c r="C15">
        <f t="shared" si="1"/>
        <v>0</v>
      </c>
      <c r="D15">
        <f t="shared" si="2"/>
        <v>1</v>
      </c>
      <c r="E15">
        <f t="shared" ref="E15:E78" si="5">+IFERROR((C15+D15)/B15,"")</f>
        <v>6.93000693000693E-4</v>
      </c>
      <c r="F15" t="str">
        <f t="shared" si="4"/>
        <v/>
      </c>
    </row>
    <row r="16" spans="1:6" x14ac:dyDescent="0.3">
      <c r="A16" t="s">
        <v>15</v>
      </c>
      <c r="B16">
        <f t="shared" si="0"/>
        <v>764</v>
      </c>
      <c r="C16">
        <f t="shared" si="1"/>
        <v>6</v>
      </c>
      <c r="D16">
        <f t="shared" si="2"/>
        <v>0</v>
      </c>
      <c r="E16">
        <f t="shared" si="5"/>
        <v>7.8534031413612562E-3</v>
      </c>
      <c r="F16" t="str">
        <f t="shared" si="4"/>
        <v/>
      </c>
    </row>
    <row r="17" spans="1:6" x14ac:dyDescent="0.3">
      <c r="A17" t="s">
        <v>16</v>
      </c>
      <c r="B17">
        <f t="shared" si="0"/>
        <v>864</v>
      </c>
      <c r="C17">
        <f t="shared" si="1"/>
        <v>0</v>
      </c>
      <c r="D17">
        <f t="shared" si="2"/>
        <v>0</v>
      </c>
      <c r="E17">
        <f t="shared" si="5"/>
        <v>0</v>
      </c>
      <c r="F17" t="str">
        <f t="shared" si="4"/>
        <v/>
      </c>
    </row>
    <row r="18" spans="1:6" x14ac:dyDescent="0.3">
      <c r="A18" t="s">
        <v>17</v>
      </c>
      <c r="B18">
        <f t="shared" si="0"/>
        <v>1622</v>
      </c>
      <c r="C18">
        <f t="shared" si="1"/>
        <v>4</v>
      </c>
      <c r="D18">
        <f t="shared" si="2"/>
        <v>107</v>
      </c>
      <c r="E18">
        <f t="shared" si="5"/>
        <v>6.8434032059186189E-2</v>
      </c>
      <c r="F18" t="str">
        <f t="shared" si="4"/>
        <v/>
      </c>
    </row>
    <row r="19" spans="1:6" x14ac:dyDescent="0.3">
      <c r="A19" t="s">
        <v>18</v>
      </c>
      <c r="B19">
        <f t="shared" si="0"/>
        <v>5683</v>
      </c>
      <c r="C19">
        <f t="shared" si="1"/>
        <v>0</v>
      </c>
      <c r="D19">
        <f t="shared" si="2"/>
        <v>2210</v>
      </c>
      <c r="E19">
        <f t="shared" si="5"/>
        <v>0.38887911314446594</v>
      </c>
      <c r="F19" t="str">
        <f t="shared" si="4"/>
        <v/>
      </c>
    </row>
    <row r="20" spans="1:6" x14ac:dyDescent="0.3">
      <c r="A20" t="s">
        <v>19</v>
      </c>
      <c r="B20">
        <f t="shared" si="0"/>
        <v>329</v>
      </c>
      <c r="C20">
        <f t="shared" si="1"/>
        <v>0</v>
      </c>
      <c r="D20">
        <f t="shared" si="2"/>
        <v>10</v>
      </c>
      <c r="E20">
        <f t="shared" si="5"/>
        <v>3.0395136778115502E-2</v>
      </c>
      <c r="F20" t="str">
        <f t="shared" si="4"/>
        <v/>
      </c>
    </row>
    <row r="21" spans="1:6" x14ac:dyDescent="0.3">
      <c r="A21" t="s">
        <v>20</v>
      </c>
      <c r="B21">
        <f t="shared" si="0"/>
        <v>28454</v>
      </c>
      <c r="C21">
        <f t="shared" si="1"/>
        <v>43</v>
      </c>
      <c r="D21">
        <f t="shared" si="2"/>
        <v>1</v>
      </c>
      <c r="E21">
        <f t="shared" si="5"/>
        <v>1.5463555211920996E-3</v>
      </c>
      <c r="F21" t="str">
        <f t="shared" si="4"/>
        <v/>
      </c>
    </row>
    <row r="22" spans="1:6" x14ac:dyDescent="0.3">
      <c r="A22" t="s">
        <v>21</v>
      </c>
      <c r="B22">
        <f t="shared" si="0"/>
        <v>1481</v>
      </c>
      <c r="C22">
        <f t="shared" si="1"/>
        <v>0</v>
      </c>
      <c r="D22">
        <f t="shared" si="2"/>
        <v>11</v>
      </c>
      <c r="E22">
        <f t="shared" si="5"/>
        <v>7.4274139095205942E-3</v>
      </c>
      <c r="F22" t="str">
        <f t="shared" si="4"/>
        <v/>
      </c>
    </row>
    <row r="23" spans="1:6" x14ac:dyDescent="0.3">
      <c r="A23" t="s">
        <v>22</v>
      </c>
      <c r="B23">
        <f t="shared" si="0"/>
        <v>19237</v>
      </c>
      <c r="C23">
        <f t="shared" si="1"/>
        <v>10</v>
      </c>
      <c r="D23">
        <f t="shared" si="2"/>
        <v>4</v>
      </c>
      <c r="E23">
        <f t="shared" si="5"/>
        <v>7.2776420439777517E-4</v>
      </c>
      <c r="F23" t="str">
        <f t="shared" si="4"/>
        <v/>
      </c>
    </row>
    <row r="24" spans="1:6" x14ac:dyDescent="0.3">
      <c r="A24" t="s">
        <v>23</v>
      </c>
      <c r="B24">
        <f t="shared" si="0"/>
        <v>13741</v>
      </c>
      <c r="C24">
        <f t="shared" si="1"/>
        <v>83</v>
      </c>
      <c r="D24">
        <f t="shared" si="2"/>
        <v>352</v>
      </c>
      <c r="E24">
        <f t="shared" si="5"/>
        <v>3.1657084637217087E-2</v>
      </c>
      <c r="F24" t="str">
        <f t="shared" si="4"/>
        <v/>
      </c>
    </row>
    <row r="25" spans="1:6" x14ac:dyDescent="0.3">
      <c r="A25" t="s">
        <v>24</v>
      </c>
      <c r="B25">
        <f t="shared" si="0"/>
        <v>1784</v>
      </c>
      <c r="C25">
        <f t="shared" si="1"/>
        <v>2</v>
      </c>
      <c r="D25">
        <f t="shared" si="2"/>
        <v>13</v>
      </c>
      <c r="E25">
        <f t="shared" si="5"/>
        <v>8.4080717488789238E-3</v>
      </c>
      <c r="F25" t="str">
        <f t="shared" si="4"/>
        <v/>
      </c>
    </row>
    <row r="26" spans="1:6" x14ac:dyDescent="0.3">
      <c r="A26" t="s">
        <v>25</v>
      </c>
      <c r="B26">
        <f t="shared" si="0"/>
        <v>5102</v>
      </c>
      <c r="C26">
        <f t="shared" si="1"/>
        <v>0</v>
      </c>
      <c r="D26">
        <f t="shared" si="2"/>
        <v>5</v>
      </c>
      <c r="E26">
        <f t="shared" si="5"/>
        <v>9.8000784006272053E-4</v>
      </c>
      <c r="F26" t="str">
        <f t="shared" si="4"/>
        <v/>
      </c>
    </row>
    <row r="27" spans="1:6" x14ac:dyDescent="0.3">
      <c r="A27" t="s">
        <v>26</v>
      </c>
      <c r="B27">
        <f t="shared" si="0"/>
        <v>59731</v>
      </c>
      <c r="C27">
        <f t="shared" si="1"/>
        <v>0</v>
      </c>
      <c r="D27">
        <f t="shared" si="2"/>
        <v>5</v>
      </c>
      <c r="E27">
        <f t="shared" si="5"/>
        <v>8.3708627011099758E-5</v>
      </c>
      <c r="F27" t="str">
        <f t="shared" si="4"/>
        <v/>
      </c>
    </row>
    <row r="28" spans="1:6" x14ac:dyDescent="0.3">
      <c r="A28" t="s">
        <v>27</v>
      </c>
      <c r="B28">
        <f t="shared" si="0"/>
        <v>692</v>
      </c>
      <c r="C28">
        <f t="shared" si="1"/>
        <v>1</v>
      </c>
      <c r="D28">
        <f t="shared" si="2"/>
        <v>33</v>
      </c>
      <c r="E28">
        <f t="shared" si="5"/>
        <v>4.9132947976878616E-2</v>
      </c>
      <c r="F28" t="str">
        <f t="shared" si="4"/>
        <v/>
      </c>
    </row>
    <row r="29" spans="1:6" x14ac:dyDescent="0.3">
      <c r="A29" t="s">
        <v>28</v>
      </c>
      <c r="B29">
        <f t="shared" si="0"/>
        <v>5307</v>
      </c>
      <c r="C29">
        <f t="shared" si="1"/>
        <v>0</v>
      </c>
      <c r="D29">
        <f t="shared" si="2"/>
        <v>18</v>
      </c>
      <c r="E29">
        <f t="shared" si="5"/>
        <v>3.3917467495760316E-3</v>
      </c>
      <c r="F29" t="str">
        <f t="shared" si="4"/>
        <v/>
      </c>
    </row>
    <row r="30" spans="1:6" x14ac:dyDescent="0.3">
      <c r="A30" t="s">
        <v>29</v>
      </c>
      <c r="B30">
        <f t="shared" si="0"/>
        <v>181</v>
      </c>
      <c r="C30">
        <f t="shared" si="1"/>
        <v>0</v>
      </c>
      <c r="D30">
        <f t="shared" si="2"/>
        <v>1</v>
      </c>
      <c r="E30">
        <f t="shared" si="5"/>
        <v>5.5248618784530384E-3</v>
      </c>
      <c r="F30" t="str">
        <f t="shared" si="4"/>
        <v/>
      </c>
    </row>
    <row r="31" spans="1:6" x14ac:dyDescent="0.3">
      <c r="A31" t="s">
        <v>30</v>
      </c>
      <c r="B31">
        <f t="shared" si="0"/>
        <v>1066</v>
      </c>
      <c r="C31">
        <f t="shared" si="1"/>
        <v>0</v>
      </c>
      <c r="D31">
        <f t="shared" si="2"/>
        <v>3</v>
      </c>
      <c r="E31">
        <f t="shared" si="5"/>
        <v>2.8142589118198874E-3</v>
      </c>
      <c r="F31" t="str">
        <f t="shared" si="4"/>
        <v/>
      </c>
    </row>
    <row r="32" spans="1:6" x14ac:dyDescent="0.3">
      <c r="A32" t="s">
        <v>31</v>
      </c>
      <c r="B32">
        <f t="shared" si="0"/>
        <v>4986</v>
      </c>
      <c r="C32">
        <f t="shared" si="1"/>
        <v>9</v>
      </c>
      <c r="D32">
        <f t="shared" si="2"/>
        <v>0</v>
      </c>
      <c r="E32">
        <f t="shared" si="5"/>
        <v>1.8050541516245488E-3</v>
      </c>
      <c r="F32" t="str">
        <f t="shared" si="4"/>
        <v/>
      </c>
    </row>
    <row r="33" spans="1:6" x14ac:dyDescent="0.3">
      <c r="A33" t="s">
        <v>32</v>
      </c>
      <c r="B33">
        <f t="shared" si="0"/>
        <v>63346</v>
      </c>
      <c r="C33">
        <f t="shared" si="1"/>
        <v>931</v>
      </c>
      <c r="D33">
        <f t="shared" si="2"/>
        <v>34</v>
      </c>
      <c r="E33">
        <f t="shared" si="5"/>
        <v>1.5233795346193919E-2</v>
      </c>
      <c r="F33" t="str">
        <f t="shared" si="4"/>
        <v/>
      </c>
    </row>
    <row r="34" spans="1:6" x14ac:dyDescent="0.3">
      <c r="A34" t="s">
        <v>33</v>
      </c>
      <c r="B34">
        <f t="shared" si="0"/>
        <v>35370</v>
      </c>
      <c r="C34">
        <f t="shared" si="1"/>
        <v>1254</v>
      </c>
      <c r="D34">
        <f t="shared" si="2"/>
        <v>51</v>
      </c>
      <c r="E34">
        <f t="shared" si="5"/>
        <v>3.689567430025445E-2</v>
      </c>
      <c r="F34" t="str">
        <f t="shared" si="4"/>
        <v/>
      </c>
    </row>
    <row r="35" spans="1:6" x14ac:dyDescent="0.3">
      <c r="A35" t="s">
        <v>34</v>
      </c>
      <c r="B35">
        <f t="shared" si="0"/>
        <v>38874</v>
      </c>
      <c r="C35">
        <f t="shared" si="1"/>
        <v>1576</v>
      </c>
      <c r="D35">
        <f t="shared" si="2"/>
        <v>2521</v>
      </c>
      <c r="E35">
        <f t="shared" si="5"/>
        <v>0.10539177856665123</v>
      </c>
      <c r="F35" t="str">
        <f t="shared" si="4"/>
        <v/>
      </c>
    </row>
    <row r="36" spans="1:6" x14ac:dyDescent="0.3">
      <c r="A36" t="s">
        <v>35</v>
      </c>
      <c r="B36">
        <f t="shared" si="0"/>
        <v>0</v>
      </c>
      <c r="C36">
        <f t="shared" si="1"/>
        <v>0</v>
      </c>
      <c r="D36">
        <f t="shared" si="2"/>
        <v>0</v>
      </c>
      <c r="E36" t="str">
        <f t="shared" si="5"/>
        <v/>
      </c>
      <c r="F36" t="str">
        <f t="shared" si="4"/>
        <v>x</v>
      </c>
    </row>
    <row r="37" spans="1:6" x14ac:dyDescent="0.3">
      <c r="A37" t="s">
        <v>36</v>
      </c>
      <c r="B37">
        <f t="shared" si="0"/>
        <v>23253</v>
      </c>
      <c r="C37">
        <f t="shared" si="1"/>
        <v>1607</v>
      </c>
      <c r="D37">
        <f t="shared" si="2"/>
        <v>53</v>
      </c>
      <c r="E37">
        <f t="shared" si="5"/>
        <v>7.1388638025201054E-2</v>
      </c>
      <c r="F37" t="str">
        <f t="shared" si="4"/>
        <v/>
      </c>
    </row>
    <row r="38" spans="1:6" x14ac:dyDescent="0.3">
      <c r="A38" t="s">
        <v>37</v>
      </c>
      <c r="B38">
        <f t="shared" si="0"/>
        <v>0</v>
      </c>
      <c r="C38">
        <f t="shared" si="1"/>
        <v>0</v>
      </c>
      <c r="D38">
        <f t="shared" si="2"/>
        <v>0</v>
      </c>
      <c r="E38" t="str">
        <f t="shared" si="5"/>
        <v/>
      </c>
      <c r="F38" t="str">
        <f t="shared" si="4"/>
        <v>x</v>
      </c>
    </row>
    <row r="39" spans="1:6" x14ac:dyDescent="0.3">
      <c r="A39" t="s">
        <v>38</v>
      </c>
      <c r="B39">
        <f t="shared" si="0"/>
        <v>0</v>
      </c>
      <c r="C39">
        <f t="shared" si="1"/>
        <v>0</v>
      </c>
      <c r="D39">
        <f t="shared" si="2"/>
        <v>0</v>
      </c>
      <c r="E39" t="str">
        <f t="shared" si="5"/>
        <v/>
      </c>
      <c r="F39" t="str">
        <f t="shared" si="4"/>
        <v>x</v>
      </c>
    </row>
    <row r="40" spans="1:6" x14ac:dyDescent="0.3">
      <c r="A40" t="s">
        <v>39</v>
      </c>
      <c r="B40">
        <f t="shared" si="0"/>
        <v>24094</v>
      </c>
      <c r="C40">
        <f t="shared" si="1"/>
        <v>10</v>
      </c>
      <c r="D40">
        <f t="shared" si="2"/>
        <v>2</v>
      </c>
      <c r="E40">
        <f t="shared" si="5"/>
        <v>4.9804930688138128E-4</v>
      </c>
      <c r="F40" t="str">
        <f t="shared" si="4"/>
        <v/>
      </c>
    </row>
    <row r="41" spans="1:6" x14ac:dyDescent="0.3">
      <c r="A41" t="s">
        <v>40</v>
      </c>
      <c r="B41">
        <f t="shared" si="0"/>
        <v>33762</v>
      </c>
      <c r="C41">
        <f t="shared" si="1"/>
        <v>232</v>
      </c>
      <c r="D41">
        <f t="shared" si="2"/>
        <v>48</v>
      </c>
      <c r="E41">
        <f t="shared" si="5"/>
        <v>8.2933475505005631E-3</v>
      </c>
      <c r="F41" t="str">
        <f t="shared" si="4"/>
        <v/>
      </c>
    </row>
    <row r="42" spans="1:6" x14ac:dyDescent="0.3">
      <c r="A42" t="s">
        <v>41</v>
      </c>
      <c r="B42">
        <f t="shared" si="0"/>
        <v>29178</v>
      </c>
      <c r="C42">
        <f t="shared" si="1"/>
        <v>9</v>
      </c>
      <c r="D42">
        <f t="shared" si="2"/>
        <v>11</v>
      </c>
      <c r="E42">
        <f t="shared" si="5"/>
        <v>6.8544794022893957E-4</v>
      </c>
      <c r="F42" t="str">
        <f t="shared" si="4"/>
        <v/>
      </c>
    </row>
    <row r="43" spans="1:6" x14ac:dyDescent="0.3">
      <c r="A43" t="s">
        <v>42</v>
      </c>
      <c r="B43">
        <f t="shared" si="0"/>
        <v>36075</v>
      </c>
      <c r="C43">
        <f t="shared" si="1"/>
        <v>5</v>
      </c>
      <c r="D43">
        <f t="shared" si="2"/>
        <v>10</v>
      </c>
      <c r="E43">
        <f t="shared" si="5"/>
        <v>4.1580041580041582E-4</v>
      </c>
      <c r="F43" t="str">
        <f t="shared" si="4"/>
        <v/>
      </c>
    </row>
    <row r="44" spans="1:6" x14ac:dyDescent="0.3">
      <c r="A44" t="s">
        <v>43</v>
      </c>
      <c r="B44">
        <f t="shared" si="0"/>
        <v>8553</v>
      </c>
      <c r="C44">
        <f t="shared" si="1"/>
        <v>82</v>
      </c>
      <c r="D44">
        <f t="shared" si="2"/>
        <v>112</v>
      </c>
      <c r="E44">
        <f t="shared" si="5"/>
        <v>2.2682099848006548E-2</v>
      </c>
      <c r="F44" t="str">
        <f t="shared" si="4"/>
        <v/>
      </c>
    </row>
    <row r="45" spans="1:6" x14ac:dyDescent="0.3">
      <c r="A45" t="s">
        <v>44</v>
      </c>
      <c r="B45">
        <f t="shared" si="0"/>
        <v>13380</v>
      </c>
      <c r="C45">
        <f t="shared" si="1"/>
        <v>47</v>
      </c>
      <c r="D45">
        <f t="shared" si="2"/>
        <v>497</v>
      </c>
      <c r="E45">
        <f t="shared" si="5"/>
        <v>4.0657698056801195E-2</v>
      </c>
      <c r="F45" t="str">
        <f t="shared" si="4"/>
        <v/>
      </c>
    </row>
    <row r="46" spans="1:6" x14ac:dyDescent="0.3">
      <c r="A46" t="s">
        <v>45</v>
      </c>
      <c r="B46">
        <f t="shared" si="0"/>
        <v>35919</v>
      </c>
      <c r="C46">
        <f t="shared" si="1"/>
        <v>63</v>
      </c>
      <c r="D46">
        <f t="shared" si="2"/>
        <v>312</v>
      </c>
      <c r="E46">
        <f t="shared" si="5"/>
        <v>1.044015701996158E-2</v>
      </c>
      <c r="F46" t="str">
        <f t="shared" si="4"/>
        <v/>
      </c>
    </row>
    <row r="47" spans="1:6" x14ac:dyDescent="0.3">
      <c r="A47" t="s">
        <v>46</v>
      </c>
      <c r="B47">
        <f t="shared" si="0"/>
        <v>0</v>
      </c>
      <c r="C47">
        <f t="shared" si="1"/>
        <v>0</v>
      </c>
      <c r="D47">
        <f t="shared" si="2"/>
        <v>0</v>
      </c>
      <c r="E47" t="str">
        <f t="shared" si="5"/>
        <v/>
      </c>
      <c r="F47" t="str">
        <f t="shared" si="4"/>
        <v>x</v>
      </c>
    </row>
    <row r="48" spans="1:6" x14ac:dyDescent="0.3">
      <c r="A48" t="s">
        <v>47</v>
      </c>
      <c r="B48">
        <f t="shared" si="0"/>
        <v>57618</v>
      </c>
      <c r="C48">
        <f t="shared" si="1"/>
        <v>9</v>
      </c>
      <c r="D48">
        <f t="shared" si="2"/>
        <v>11</v>
      </c>
      <c r="E48">
        <f t="shared" si="5"/>
        <v>3.4711374917560482E-4</v>
      </c>
      <c r="F48" t="str">
        <f t="shared" si="4"/>
        <v/>
      </c>
    </row>
    <row r="49" spans="1:6" x14ac:dyDescent="0.3">
      <c r="A49" t="s">
        <v>48</v>
      </c>
      <c r="B49">
        <f t="shared" si="0"/>
        <v>5962</v>
      </c>
      <c r="C49">
        <f t="shared" si="1"/>
        <v>7</v>
      </c>
      <c r="D49">
        <f t="shared" si="2"/>
        <v>19</v>
      </c>
      <c r="E49">
        <f t="shared" si="5"/>
        <v>4.3609527004360949E-3</v>
      </c>
      <c r="F49" t="str">
        <f t="shared" si="4"/>
        <v/>
      </c>
    </row>
    <row r="50" spans="1:6" x14ac:dyDescent="0.3">
      <c r="A50" t="s">
        <v>49</v>
      </c>
      <c r="B50">
        <f t="shared" si="0"/>
        <v>9425</v>
      </c>
      <c r="C50">
        <f t="shared" si="1"/>
        <v>10</v>
      </c>
      <c r="D50">
        <f t="shared" si="2"/>
        <v>64</v>
      </c>
      <c r="E50">
        <f t="shared" si="5"/>
        <v>7.8514588859416451E-3</v>
      </c>
      <c r="F50" t="str">
        <f t="shared" si="4"/>
        <v/>
      </c>
    </row>
    <row r="51" spans="1:6" x14ac:dyDescent="0.3">
      <c r="A51" t="s">
        <v>50</v>
      </c>
      <c r="B51">
        <f t="shared" si="0"/>
        <v>18506</v>
      </c>
      <c r="C51">
        <f t="shared" si="1"/>
        <v>3</v>
      </c>
      <c r="D51">
        <f t="shared" si="2"/>
        <v>69</v>
      </c>
      <c r="E51">
        <f t="shared" si="5"/>
        <v>3.8906300659245648E-3</v>
      </c>
      <c r="F51" t="str">
        <f t="shared" si="4"/>
        <v/>
      </c>
    </row>
    <row r="52" spans="1:6" x14ac:dyDescent="0.3">
      <c r="A52" t="s">
        <v>51</v>
      </c>
      <c r="B52">
        <f t="shared" si="0"/>
        <v>12413</v>
      </c>
      <c r="C52">
        <f t="shared" si="1"/>
        <v>145</v>
      </c>
      <c r="D52">
        <f t="shared" si="2"/>
        <v>58</v>
      </c>
      <c r="E52">
        <f t="shared" si="5"/>
        <v>1.6353822605333117E-2</v>
      </c>
      <c r="F52" t="str">
        <f t="shared" si="4"/>
        <v/>
      </c>
    </row>
    <row r="53" spans="1:6" x14ac:dyDescent="0.3">
      <c r="A53" t="s">
        <v>52</v>
      </c>
      <c r="B53">
        <f t="shared" si="0"/>
        <v>7458</v>
      </c>
      <c r="C53">
        <f t="shared" si="1"/>
        <v>6</v>
      </c>
      <c r="D53">
        <f t="shared" si="2"/>
        <v>35</v>
      </c>
      <c r="E53">
        <f t="shared" si="5"/>
        <v>5.4974524001072675E-3</v>
      </c>
      <c r="F53" t="str">
        <f t="shared" si="4"/>
        <v/>
      </c>
    </row>
    <row r="54" spans="1:6" x14ac:dyDescent="0.3">
      <c r="A54" t="s">
        <v>53</v>
      </c>
      <c r="B54">
        <f t="shared" si="0"/>
        <v>16801</v>
      </c>
      <c r="C54">
        <f t="shared" si="1"/>
        <v>2</v>
      </c>
      <c r="D54">
        <f t="shared" si="2"/>
        <v>8</v>
      </c>
      <c r="E54">
        <f t="shared" si="5"/>
        <v>5.9520266650794592E-4</v>
      </c>
      <c r="F54" t="str">
        <f t="shared" si="4"/>
        <v/>
      </c>
    </row>
    <row r="55" spans="1:6" x14ac:dyDescent="0.3">
      <c r="A55" t="s">
        <v>54</v>
      </c>
      <c r="B55">
        <f t="shared" si="0"/>
        <v>16182</v>
      </c>
      <c r="C55">
        <f t="shared" si="1"/>
        <v>16</v>
      </c>
      <c r="D55">
        <f t="shared" si="2"/>
        <v>62</v>
      </c>
      <c r="E55">
        <f t="shared" si="5"/>
        <v>4.82017055988135E-3</v>
      </c>
      <c r="F55" t="str">
        <f t="shared" si="4"/>
        <v/>
      </c>
    </row>
    <row r="56" spans="1:6" x14ac:dyDescent="0.3">
      <c r="A56" t="s">
        <v>55</v>
      </c>
      <c r="B56">
        <f t="shared" si="0"/>
        <v>21026</v>
      </c>
      <c r="C56">
        <f t="shared" si="1"/>
        <v>47</v>
      </c>
      <c r="D56">
        <f t="shared" si="2"/>
        <v>31</v>
      </c>
      <c r="E56">
        <f t="shared" si="5"/>
        <v>3.7096927613430989E-3</v>
      </c>
      <c r="F56" t="str">
        <f t="shared" si="4"/>
        <v/>
      </c>
    </row>
    <row r="57" spans="1:6" x14ac:dyDescent="0.3">
      <c r="A57" t="s">
        <v>56</v>
      </c>
      <c r="B57">
        <f t="shared" si="0"/>
        <v>52017</v>
      </c>
      <c r="C57">
        <f t="shared" si="1"/>
        <v>1</v>
      </c>
      <c r="D57">
        <f t="shared" si="2"/>
        <v>5</v>
      </c>
      <c r="E57">
        <f t="shared" si="5"/>
        <v>1.153469058192514E-4</v>
      </c>
      <c r="F57" t="str">
        <f t="shared" si="4"/>
        <v/>
      </c>
    </row>
    <row r="58" spans="1:6" x14ac:dyDescent="0.3">
      <c r="A58" t="s">
        <v>57</v>
      </c>
      <c r="B58">
        <f t="shared" si="0"/>
        <v>13643</v>
      </c>
      <c r="C58">
        <f t="shared" si="1"/>
        <v>1</v>
      </c>
      <c r="D58">
        <f t="shared" si="2"/>
        <v>20</v>
      </c>
      <c r="E58">
        <f t="shared" si="5"/>
        <v>1.5392508978963571E-3</v>
      </c>
      <c r="F58" t="str">
        <f t="shared" si="4"/>
        <v/>
      </c>
    </row>
    <row r="59" spans="1:6" x14ac:dyDescent="0.3">
      <c r="A59" t="s">
        <v>58</v>
      </c>
      <c r="B59">
        <f t="shared" si="0"/>
        <v>15017</v>
      </c>
      <c r="C59">
        <f t="shared" si="1"/>
        <v>1</v>
      </c>
      <c r="D59">
        <f t="shared" si="2"/>
        <v>14</v>
      </c>
      <c r="E59">
        <f t="shared" si="5"/>
        <v>9.9886794965705532E-4</v>
      </c>
      <c r="F59" t="str">
        <f t="shared" si="4"/>
        <v/>
      </c>
    </row>
    <row r="60" spans="1:6" x14ac:dyDescent="0.3">
      <c r="A60" t="s">
        <v>59</v>
      </c>
      <c r="B60">
        <f t="shared" si="0"/>
        <v>30378</v>
      </c>
      <c r="C60">
        <f t="shared" si="1"/>
        <v>0</v>
      </c>
      <c r="D60">
        <f t="shared" si="2"/>
        <v>5</v>
      </c>
      <c r="E60">
        <f t="shared" si="5"/>
        <v>1.6459279741918494E-4</v>
      </c>
      <c r="F60" t="str">
        <f t="shared" si="4"/>
        <v/>
      </c>
    </row>
    <row r="61" spans="1:6" x14ac:dyDescent="0.3">
      <c r="A61" t="s">
        <v>60</v>
      </c>
      <c r="B61">
        <f t="shared" si="0"/>
        <v>14047</v>
      </c>
      <c r="C61">
        <f t="shared" si="1"/>
        <v>0</v>
      </c>
      <c r="D61">
        <f t="shared" si="2"/>
        <v>28</v>
      </c>
      <c r="E61">
        <f t="shared" si="5"/>
        <v>1.9933081796824946E-3</v>
      </c>
      <c r="F61" t="str">
        <f t="shared" si="4"/>
        <v/>
      </c>
    </row>
    <row r="62" spans="1:6" x14ac:dyDescent="0.3">
      <c r="A62" t="s">
        <v>61</v>
      </c>
      <c r="B62">
        <f t="shared" si="0"/>
        <v>20851</v>
      </c>
      <c r="C62">
        <f t="shared" si="1"/>
        <v>10</v>
      </c>
      <c r="D62">
        <f t="shared" si="2"/>
        <v>62</v>
      </c>
      <c r="E62">
        <f t="shared" si="5"/>
        <v>3.4530717951177401E-3</v>
      </c>
      <c r="F62" t="str">
        <f t="shared" si="4"/>
        <v/>
      </c>
    </row>
    <row r="63" spans="1:6" x14ac:dyDescent="0.3">
      <c r="A63" t="s">
        <v>62</v>
      </c>
      <c r="B63">
        <f t="shared" si="0"/>
        <v>0</v>
      </c>
      <c r="C63">
        <f t="shared" si="1"/>
        <v>0</v>
      </c>
      <c r="D63">
        <f t="shared" si="2"/>
        <v>0</v>
      </c>
      <c r="E63" t="str">
        <f t="shared" si="5"/>
        <v/>
      </c>
      <c r="F63" t="str">
        <f t="shared" si="4"/>
        <v>x</v>
      </c>
    </row>
    <row r="64" spans="1:6" x14ac:dyDescent="0.3">
      <c r="A64" t="s">
        <v>63</v>
      </c>
      <c r="B64">
        <f t="shared" si="0"/>
        <v>0</v>
      </c>
      <c r="C64">
        <f t="shared" si="1"/>
        <v>0</v>
      </c>
      <c r="D64">
        <f t="shared" si="2"/>
        <v>0</v>
      </c>
      <c r="E64" t="str">
        <f t="shared" si="5"/>
        <v/>
      </c>
      <c r="F64" t="str">
        <f t="shared" si="4"/>
        <v>x</v>
      </c>
    </row>
    <row r="65" spans="1:6" x14ac:dyDescent="0.3">
      <c r="A65" t="s">
        <v>64</v>
      </c>
      <c r="B65">
        <f t="shared" si="0"/>
        <v>20109</v>
      </c>
      <c r="C65">
        <f t="shared" si="1"/>
        <v>4</v>
      </c>
      <c r="D65">
        <f t="shared" si="2"/>
        <v>102</v>
      </c>
      <c r="E65">
        <f t="shared" si="5"/>
        <v>5.2712715699438067E-3</v>
      </c>
      <c r="F65" t="str">
        <f t="shared" si="4"/>
        <v/>
      </c>
    </row>
    <row r="66" spans="1:6" x14ac:dyDescent="0.3">
      <c r="A66" t="s">
        <v>65</v>
      </c>
      <c r="B66">
        <f t="shared" ref="B66:B111" si="6">VALUE(MID(A66,FIND(",",A66)+1,FIND(",",A66,FIND(",",A66)+1)-FIND(",",A66)-1))</f>
        <v>10418</v>
      </c>
      <c r="C66">
        <f t="shared" ref="C66:C111" si="7">VALUE(MID(A66,FIND(",",A66,FIND(",",A66)+1)+1,FIND(",",A66,FIND(",",A66,FIND(",",A66)+1)+1)-FIND(",",A66,FIND(",",A66)+1)-1))</f>
        <v>1</v>
      </c>
      <c r="D66">
        <f t="shared" ref="D66:D111" si="8">VALUE(RIGHT(A66,LEN(A66)-FIND(",",A66,FIND(",",A66,FIND(",",A66)+1)+1)))</f>
        <v>55</v>
      </c>
      <c r="E66">
        <f t="shared" si="5"/>
        <v>5.3753119600691108E-3</v>
      </c>
      <c r="F66" t="str">
        <f t="shared" si="4"/>
        <v/>
      </c>
    </row>
    <row r="67" spans="1:6" x14ac:dyDescent="0.3">
      <c r="A67" t="s">
        <v>66</v>
      </c>
      <c r="B67">
        <f t="shared" si="6"/>
        <v>27892</v>
      </c>
      <c r="C67">
        <f t="shared" si="7"/>
        <v>10</v>
      </c>
      <c r="D67">
        <f t="shared" si="8"/>
        <v>31</v>
      </c>
      <c r="E67">
        <f t="shared" si="5"/>
        <v>1.4699555428079737E-3</v>
      </c>
      <c r="F67" t="str">
        <f t="shared" ref="F67:F112" si="9">IF(E67&gt;0.7,"x","")</f>
        <v/>
      </c>
    </row>
    <row r="68" spans="1:6" x14ac:dyDescent="0.3">
      <c r="A68" t="s">
        <v>67</v>
      </c>
      <c r="B68">
        <f t="shared" si="6"/>
        <v>3454</v>
      </c>
      <c r="C68">
        <f t="shared" si="7"/>
        <v>4</v>
      </c>
      <c r="D68">
        <f t="shared" si="8"/>
        <v>4</v>
      </c>
      <c r="E68">
        <f t="shared" si="5"/>
        <v>2.3161551823972205E-3</v>
      </c>
      <c r="F68" t="str">
        <f t="shared" si="9"/>
        <v/>
      </c>
    </row>
    <row r="69" spans="1:6" x14ac:dyDescent="0.3">
      <c r="A69" t="s">
        <v>68</v>
      </c>
      <c r="B69">
        <f t="shared" si="6"/>
        <v>4396</v>
      </c>
      <c r="C69">
        <f t="shared" si="7"/>
        <v>0</v>
      </c>
      <c r="D69">
        <f t="shared" si="8"/>
        <v>146</v>
      </c>
      <c r="E69">
        <f t="shared" si="5"/>
        <v>3.3212010919017286E-2</v>
      </c>
      <c r="F69" t="str">
        <f t="shared" si="9"/>
        <v/>
      </c>
    </row>
    <row r="70" spans="1:6" x14ac:dyDescent="0.3">
      <c r="A70" t="s">
        <v>69</v>
      </c>
      <c r="B70">
        <f t="shared" si="6"/>
        <v>12386</v>
      </c>
      <c r="C70">
        <f t="shared" si="7"/>
        <v>7</v>
      </c>
      <c r="D70">
        <f t="shared" si="8"/>
        <v>21</v>
      </c>
      <c r="E70">
        <f t="shared" si="5"/>
        <v>2.2606168254480866E-3</v>
      </c>
      <c r="F70" t="str">
        <f t="shared" si="9"/>
        <v/>
      </c>
    </row>
    <row r="71" spans="1:6" x14ac:dyDescent="0.3">
      <c r="A71" t="s">
        <v>70</v>
      </c>
      <c r="B71">
        <f t="shared" si="6"/>
        <v>0</v>
      </c>
      <c r="C71">
        <f t="shared" si="7"/>
        <v>0</v>
      </c>
      <c r="D71">
        <f t="shared" si="8"/>
        <v>0</v>
      </c>
      <c r="E71" t="str">
        <f t="shared" si="5"/>
        <v/>
      </c>
      <c r="F71" t="str">
        <f t="shared" si="9"/>
        <v>x</v>
      </c>
    </row>
    <row r="72" spans="1:6" x14ac:dyDescent="0.3">
      <c r="A72" t="s">
        <v>71</v>
      </c>
      <c r="B72">
        <f t="shared" si="6"/>
        <v>8167</v>
      </c>
      <c r="C72">
        <f t="shared" si="7"/>
        <v>27</v>
      </c>
      <c r="D72">
        <f t="shared" si="8"/>
        <v>2</v>
      </c>
      <c r="E72">
        <f t="shared" si="5"/>
        <v>3.5508754744704297E-3</v>
      </c>
      <c r="F72" t="str">
        <f t="shared" si="9"/>
        <v/>
      </c>
    </row>
    <row r="73" spans="1:6" x14ac:dyDescent="0.3">
      <c r="A73" t="s">
        <v>72</v>
      </c>
      <c r="B73">
        <f t="shared" si="6"/>
        <v>20187</v>
      </c>
      <c r="C73">
        <f t="shared" si="7"/>
        <v>4</v>
      </c>
      <c r="D73">
        <f t="shared" si="8"/>
        <v>33</v>
      </c>
      <c r="E73">
        <f t="shared" si="5"/>
        <v>1.8328627334423145E-3</v>
      </c>
      <c r="F73" t="str">
        <f t="shared" si="9"/>
        <v/>
      </c>
    </row>
    <row r="74" spans="1:6" x14ac:dyDescent="0.3">
      <c r="A74" t="s">
        <v>73</v>
      </c>
      <c r="B74">
        <f t="shared" si="6"/>
        <v>10272</v>
      </c>
      <c r="C74">
        <f t="shared" si="7"/>
        <v>1</v>
      </c>
      <c r="D74">
        <f t="shared" si="8"/>
        <v>14</v>
      </c>
      <c r="E74">
        <f t="shared" si="5"/>
        <v>1.4602803738317756E-3</v>
      </c>
      <c r="F74" t="str">
        <f t="shared" si="9"/>
        <v/>
      </c>
    </row>
    <row r="75" spans="1:6" x14ac:dyDescent="0.3">
      <c r="A75" t="s">
        <v>74</v>
      </c>
      <c r="B75">
        <f t="shared" si="6"/>
        <v>0</v>
      </c>
      <c r="C75">
        <f t="shared" si="7"/>
        <v>0</v>
      </c>
      <c r="D75">
        <f t="shared" si="8"/>
        <v>0</v>
      </c>
      <c r="E75" t="str">
        <f t="shared" si="5"/>
        <v/>
      </c>
      <c r="F75" t="str">
        <f t="shared" si="9"/>
        <v>x</v>
      </c>
    </row>
    <row r="76" spans="1:6" x14ac:dyDescent="0.3">
      <c r="A76" t="s">
        <v>75</v>
      </c>
      <c r="B76">
        <f t="shared" si="6"/>
        <v>19646</v>
      </c>
      <c r="C76">
        <f t="shared" si="7"/>
        <v>11</v>
      </c>
      <c r="D76">
        <f t="shared" si="8"/>
        <v>18</v>
      </c>
      <c r="E76">
        <f t="shared" si="5"/>
        <v>1.476127455970681E-3</v>
      </c>
      <c r="F76" t="str">
        <f t="shared" si="9"/>
        <v/>
      </c>
    </row>
    <row r="77" spans="1:6" x14ac:dyDescent="0.3">
      <c r="A77" t="s">
        <v>76</v>
      </c>
      <c r="B77">
        <f t="shared" si="6"/>
        <v>15314</v>
      </c>
      <c r="C77">
        <f t="shared" si="7"/>
        <v>5</v>
      </c>
      <c r="D77">
        <f t="shared" si="8"/>
        <v>8</v>
      </c>
      <c r="E77">
        <f t="shared" si="5"/>
        <v>8.4889643463497452E-4</v>
      </c>
      <c r="F77" t="str">
        <f t="shared" si="9"/>
        <v/>
      </c>
    </row>
    <row r="78" spans="1:6" x14ac:dyDescent="0.3">
      <c r="A78" t="s">
        <v>77</v>
      </c>
      <c r="B78">
        <f t="shared" si="6"/>
        <v>13275</v>
      </c>
      <c r="C78">
        <f t="shared" si="7"/>
        <v>11</v>
      </c>
      <c r="D78">
        <f t="shared" si="8"/>
        <v>22</v>
      </c>
      <c r="E78">
        <f t="shared" si="5"/>
        <v>2.4858757062146894E-3</v>
      </c>
      <c r="F78" t="str">
        <f t="shared" si="9"/>
        <v/>
      </c>
    </row>
    <row r="79" spans="1:6" x14ac:dyDescent="0.3">
      <c r="A79" t="s">
        <v>78</v>
      </c>
      <c r="B79">
        <f t="shared" si="6"/>
        <v>8176</v>
      </c>
      <c r="C79">
        <f t="shared" si="7"/>
        <v>13</v>
      </c>
      <c r="D79">
        <f t="shared" si="8"/>
        <v>40</v>
      </c>
      <c r="E79">
        <f t="shared" ref="E79:E112" si="10">+IFERROR((C79+D79)/B79,"")</f>
        <v>6.4823874755381601E-3</v>
      </c>
      <c r="F79" t="str">
        <f t="shared" si="9"/>
        <v/>
      </c>
    </row>
    <row r="80" spans="1:6" x14ac:dyDescent="0.3">
      <c r="A80" t="s">
        <v>79</v>
      </c>
      <c r="B80">
        <f t="shared" si="6"/>
        <v>5696</v>
      </c>
      <c r="C80">
        <f t="shared" si="7"/>
        <v>1</v>
      </c>
      <c r="D80">
        <f t="shared" si="8"/>
        <v>59</v>
      </c>
      <c r="E80">
        <f t="shared" si="10"/>
        <v>1.0533707865168539E-2</v>
      </c>
      <c r="F80" t="str">
        <f t="shared" si="9"/>
        <v/>
      </c>
    </row>
    <row r="81" spans="1:6" x14ac:dyDescent="0.3">
      <c r="A81" t="s">
        <v>80</v>
      </c>
      <c r="B81">
        <f t="shared" si="6"/>
        <v>14189</v>
      </c>
      <c r="C81">
        <f t="shared" si="7"/>
        <v>67</v>
      </c>
      <c r="D81">
        <f t="shared" si="8"/>
        <v>71</v>
      </c>
      <c r="E81">
        <f t="shared" si="10"/>
        <v>9.7258439636338009E-3</v>
      </c>
      <c r="F81" t="str">
        <f t="shared" si="9"/>
        <v/>
      </c>
    </row>
    <row r="82" spans="1:6" x14ac:dyDescent="0.3">
      <c r="A82" t="s">
        <v>81</v>
      </c>
      <c r="B82">
        <f t="shared" si="6"/>
        <v>20383</v>
      </c>
      <c r="C82">
        <f t="shared" si="7"/>
        <v>19</v>
      </c>
      <c r="D82">
        <f t="shared" si="8"/>
        <v>60</v>
      </c>
      <c r="E82">
        <f t="shared" si="10"/>
        <v>3.8757788353039296E-3</v>
      </c>
      <c r="F82" t="str">
        <f t="shared" si="9"/>
        <v/>
      </c>
    </row>
    <row r="83" spans="1:6" x14ac:dyDescent="0.3">
      <c r="A83" t="s">
        <v>82</v>
      </c>
      <c r="B83">
        <f t="shared" si="6"/>
        <v>17804</v>
      </c>
      <c r="C83">
        <f t="shared" si="7"/>
        <v>0</v>
      </c>
      <c r="D83">
        <f t="shared" si="8"/>
        <v>0</v>
      </c>
      <c r="E83">
        <f t="shared" si="10"/>
        <v>0</v>
      </c>
      <c r="F83" t="str">
        <f t="shared" si="9"/>
        <v/>
      </c>
    </row>
    <row r="84" spans="1:6" x14ac:dyDescent="0.3">
      <c r="A84" t="s">
        <v>83</v>
      </c>
      <c r="B84">
        <f t="shared" si="6"/>
        <v>12589</v>
      </c>
      <c r="C84">
        <f t="shared" si="7"/>
        <v>32</v>
      </c>
      <c r="D84">
        <f t="shared" si="8"/>
        <v>53</v>
      </c>
      <c r="E84">
        <f t="shared" si="10"/>
        <v>6.7519262848518549E-3</v>
      </c>
      <c r="F84" t="str">
        <f t="shared" si="9"/>
        <v/>
      </c>
    </row>
    <row r="85" spans="1:6" x14ac:dyDescent="0.3">
      <c r="A85" t="s">
        <v>84</v>
      </c>
      <c r="B85">
        <f t="shared" si="6"/>
        <v>0</v>
      </c>
      <c r="C85">
        <f t="shared" si="7"/>
        <v>0</v>
      </c>
      <c r="D85">
        <f t="shared" si="8"/>
        <v>0</v>
      </c>
      <c r="E85" t="str">
        <f t="shared" si="10"/>
        <v/>
      </c>
      <c r="F85" t="str">
        <f t="shared" si="9"/>
        <v>x</v>
      </c>
    </row>
    <row r="86" spans="1:6" x14ac:dyDescent="0.3">
      <c r="A86" t="s">
        <v>85</v>
      </c>
      <c r="B86">
        <f t="shared" si="6"/>
        <v>21645</v>
      </c>
      <c r="C86">
        <f t="shared" si="7"/>
        <v>117</v>
      </c>
      <c r="D86">
        <f t="shared" si="8"/>
        <v>480</v>
      </c>
      <c r="E86">
        <f t="shared" si="10"/>
        <v>2.7581427581427582E-2</v>
      </c>
      <c r="F86" t="str">
        <f t="shared" si="9"/>
        <v/>
      </c>
    </row>
    <row r="87" spans="1:6" x14ac:dyDescent="0.3">
      <c r="A87" t="s">
        <v>86</v>
      </c>
      <c r="B87">
        <f t="shared" si="6"/>
        <v>0</v>
      </c>
      <c r="C87">
        <f t="shared" si="7"/>
        <v>0</v>
      </c>
      <c r="D87">
        <f t="shared" si="8"/>
        <v>0</v>
      </c>
      <c r="E87" t="str">
        <f t="shared" si="10"/>
        <v/>
      </c>
      <c r="F87" t="str">
        <f t="shared" si="9"/>
        <v>x</v>
      </c>
    </row>
    <row r="88" spans="1:6" x14ac:dyDescent="0.3">
      <c r="A88" t="s">
        <v>87</v>
      </c>
      <c r="B88">
        <f t="shared" si="6"/>
        <v>5054</v>
      </c>
      <c r="C88">
        <f t="shared" si="7"/>
        <v>15</v>
      </c>
      <c r="D88">
        <f t="shared" si="8"/>
        <v>38</v>
      </c>
      <c r="E88">
        <f t="shared" si="10"/>
        <v>1.0486743173723783E-2</v>
      </c>
      <c r="F88" t="str">
        <f t="shared" si="9"/>
        <v/>
      </c>
    </row>
    <row r="89" spans="1:6" x14ac:dyDescent="0.3">
      <c r="A89" t="s">
        <v>88</v>
      </c>
      <c r="B89">
        <f t="shared" si="6"/>
        <v>2229</v>
      </c>
      <c r="C89">
        <f t="shared" si="7"/>
        <v>16</v>
      </c>
      <c r="D89">
        <f t="shared" si="8"/>
        <v>31</v>
      </c>
      <c r="E89">
        <f t="shared" si="10"/>
        <v>2.1085688649618663E-2</v>
      </c>
      <c r="F89" t="str">
        <f t="shared" si="9"/>
        <v/>
      </c>
    </row>
    <row r="90" spans="1:6" x14ac:dyDescent="0.3">
      <c r="A90" t="s">
        <v>89</v>
      </c>
      <c r="B90">
        <f t="shared" si="6"/>
        <v>27417</v>
      </c>
      <c r="C90">
        <f t="shared" si="7"/>
        <v>1032</v>
      </c>
      <c r="D90">
        <f t="shared" si="8"/>
        <v>609</v>
      </c>
      <c r="E90">
        <f t="shared" si="10"/>
        <v>5.985337564284933E-2</v>
      </c>
      <c r="F90" t="str">
        <f t="shared" si="9"/>
        <v/>
      </c>
    </row>
    <row r="91" spans="1:6" x14ac:dyDescent="0.3">
      <c r="A91" t="s">
        <v>90</v>
      </c>
      <c r="B91">
        <f t="shared" si="6"/>
        <v>13492</v>
      </c>
      <c r="C91">
        <f t="shared" si="7"/>
        <v>971</v>
      </c>
      <c r="D91">
        <f t="shared" si="8"/>
        <v>8910</v>
      </c>
      <c r="E91">
        <f t="shared" si="10"/>
        <v>0.73235991698784464</v>
      </c>
      <c r="F91" t="str">
        <f t="shared" si="9"/>
        <v>x</v>
      </c>
    </row>
    <row r="92" spans="1:6" x14ac:dyDescent="0.3">
      <c r="A92" t="s">
        <v>91</v>
      </c>
      <c r="B92">
        <f t="shared" si="6"/>
        <v>0</v>
      </c>
      <c r="C92">
        <f t="shared" si="7"/>
        <v>0</v>
      </c>
      <c r="D92">
        <f t="shared" si="8"/>
        <v>0</v>
      </c>
      <c r="E92" t="str">
        <f t="shared" si="10"/>
        <v/>
      </c>
      <c r="F92" t="str">
        <f t="shared" si="9"/>
        <v>x</v>
      </c>
    </row>
    <row r="93" spans="1:6" x14ac:dyDescent="0.3">
      <c r="A93" t="s">
        <v>92</v>
      </c>
      <c r="B93">
        <f t="shared" si="6"/>
        <v>5013</v>
      </c>
      <c r="C93">
        <f t="shared" si="7"/>
        <v>24</v>
      </c>
      <c r="D93">
        <f t="shared" si="8"/>
        <v>388</v>
      </c>
      <c r="E93">
        <f t="shared" si="10"/>
        <v>8.2186315579493324E-2</v>
      </c>
      <c r="F93" t="str">
        <f t="shared" si="9"/>
        <v/>
      </c>
    </row>
    <row r="94" spans="1:6" x14ac:dyDescent="0.3">
      <c r="A94" t="s">
        <v>93</v>
      </c>
      <c r="B94">
        <f t="shared" si="6"/>
        <v>4375</v>
      </c>
      <c r="C94">
        <f t="shared" si="7"/>
        <v>37</v>
      </c>
      <c r="D94">
        <f t="shared" si="8"/>
        <v>56</v>
      </c>
      <c r="E94">
        <f t="shared" si="10"/>
        <v>2.1257142857142856E-2</v>
      </c>
      <c r="F94" t="str">
        <f t="shared" si="9"/>
        <v/>
      </c>
    </row>
    <row r="95" spans="1:6" x14ac:dyDescent="0.3">
      <c r="A95" t="s">
        <v>94</v>
      </c>
      <c r="B95">
        <f t="shared" si="6"/>
        <v>8173</v>
      </c>
      <c r="C95">
        <f t="shared" si="7"/>
        <v>55</v>
      </c>
      <c r="D95">
        <f t="shared" si="8"/>
        <v>40</v>
      </c>
      <c r="E95">
        <f t="shared" si="10"/>
        <v>1.1623638810718219E-2</v>
      </c>
      <c r="F95" t="str">
        <f t="shared" si="9"/>
        <v/>
      </c>
    </row>
    <row r="96" spans="1:6" x14ac:dyDescent="0.3">
      <c r="A96" t="s">
        <v>95</v>
      </c>
      <c r="B96">
        <f t="shared" si="6"/>
        <v>0</v>
      </c>
      <c r="C96">
        <f t="shared" si="7"/>
        <v>0</v>
      </c>
      <c r="D96">
        <f t="shared" si="8"/>
        <v>0</v>
      </c>
      <c r="E96" t="str">
        <f t="shared" si="10"/>
        <v/>
      </c>
      <c r="F96" t="str">
        <f t="shared" si="9"/>
        <v>x</v>
      </c>
    </row>
    <row r="97" spans="1:6" x14ac:dyDescent="0.3">
      <c r="A97" t="s">
        <v>96</v>
      </c>
      <c r="B97">
        <f t="shared" si="6"/>
        <v>0</v>
      </c>
      <c r="C97">
        <f t="shared" si="7"/>
        <v>0</v>
      </c>
      <c r="D97">
        <f t="shared" si="8"/>
        <v>0</v>
      </c>
      <c r="E97" t="str">
        <f t="shared" si="10"/>
        <v/>
      </c>
      <c r="F97" t="str">
        <f t="shared" si="9"/>
        <v>x</v>
      </c>
    </row>
    <row r="98" spans="1:6" x14ac:dyDescent="0.3">
      <c r="A98" t="s">
        <v>97</v>
      </c>
      <c r="B98">
        <f t="shared" si="6"/>
        <v>3001</v>
      </c>
      <c r="C98">
        <f t="shared" si="7"/>
        <v>46</v>
      </c>
      <c r="D98">
        <f t="shared" si="8"/>
        <v>71</v>
      </c>
      <c r="E98">
        <f t="shared" si="10"/>
        <v>3.8987004331889369E-2</v>
      </c>
      <c r="F98" t="str">
        <f t="shared" si="9"/>
        <v/>
      </c>
    </row>
    <row r="99" spans="1:6" x14ac:dyDescent="0.3">
      <c r="A99" t="s">
        <v>98</v>
      </c>
      <c r="B99">
        <f t="shared" si="6"/>
        <v>4422</v>
      </c>
      <c r="C99">
        <f t="shared" si="7"/>
        <v>1</v>
      </c>
      <c r="D99">
        <f t="shared" si="8"/>
        <v>12</v>
      </c>
      <c r="E99">
        <f t="shared" si="10"/>
        <v>2.939846223428313E-3</v>
      </c>
      <c r="F99" t="str">
        <f t="shared" si="9"/>
        <v/>
      </c>
    </row>
    <row r="100" spans="1:6" x14ac:dyDescent="0.3">
      <c r="A100" t="s">
        <v>99</v>
      </c>
      <c r="B100">
        <f t="shared" si="6"/>
        <v>1090</v>
      </c>
      <c r="C100">
        <f t="shared" si="7"/>
        <v>1</v>
      </c>
      <c r="D100">
        <f t="shared" si="8"/>
        <v>8</v>
      </c>
      <c r="E100">
        <f t="shared" si="10"/>
        <v>8.2568807339449546E-3</v>
      </c>
      <c r="F100" t="str">
        <f t="shared" si="9"/>
        <v/>
      </c>
    </row>
    <row r="101" spans="1:6" x14ac:dyDescent="0.3">
      <c r="A101" t="s">
        <v>100</v>
      </c>
      <c r="B101">
        <f t="shared" si="6"/>
        <v>0</v>
      </c>
      <c r="C101">
        <f t="shared" si="7"/>
        <v>0</v>
      </c>
      <c r="D101">
        <f t="shared" si="8"/>
        <v>0</v>
      </c>
      <c r="E101" t="str">
        <f t="shared" si="10"/>
        <v/>
      </c>
      <c r="F101" t="str">
        <f t="shared" si="9"/>
        <v>x</v>
      </c>
    </row>
    <row r="102" spans="1:6" x14ac:dyDescent="0.3">
      <c r="A102" t="s">
        <v>101</v>
      </c>
      <c r="B102">
        <f t="shared" si="6"/>
        <v>0</v>
      </c>
      <c r="C102">
        <f t="shared" si="7"/>
        <v>0</v>
      </c>
      <c r="D102">
        <f t="shared" si="8"/>
        <v>0</v>
      </c>
      <c r="E102" t="str">
        <f t="shared" si="10"/>
        <v/>
      </c>
      <c r="F102" t="str">
        <f t="shared" si="9"/>
        <v>x</v>
      </c>
    </row>
    <row r="103" spans="1:6" x14ac:dyDescent="0.3">
      <c r="A103" t="s">
        <v>102</v>
      </c>
      <c r="B103">
        <f t="shared" si="6"/>
        <v>3926</v>
      </c>
      <c r="C103">
        <f t="shared" si="7"/>
        <v>36</v>
      </c>
      <c r="D103">
        <f t="shared" si="8"/>
        <v>67</v>
      </c>
      <c r="E103">
        <f t="shared" si="10"/>
        <v>2.6235354049923585E-2</v>
      </c>
      <c r="F103" t="str">
        <f t="shared" si="9"/>
        <v/>
      </c>
    </row>
    <row r="104" spans="1:6" x14ac:dyDescent="0.3">
      <c r="A104" t="s">
        <v>103</v>
      </c>
      <c r="B104">
        <f t="shared" si="6"/>
        <v>4416</v>
      </c>
      <c r="C104">
        <f t="shared" si="7"/>
        <v>6</v>
      </c>
      <c r="D104">
        <f t="shared" si="8"/>
        <v>9</v>
      </c>
      <c r="E104">
        <f t="shared" si="10"/>
        <v>3.3967391304347825E-3</v>
      </c>
      <c r="F104" t="str">
        <f t="shared" si="9"/>
        <v/>
      </c>
    </row>
    <row r="105" spans="1:6" x14ac:dyDescent="0.3">
      <c r="A105" t="s">
        <v>104</v>
      </c>
      <c r="B105">
        <f t="shared" si="6"/>
        <v>15763</v>
      </c>
      <c r="C105">
        <f t="shared" si="7"/>
        <v>8</v>
      </c>
      <c r="D105">
        <f t="shared" si="8"/>
        <v>104</v>
      </c>
      <c r="E105">
        <f t="shared" si="10"/>
        <v>7.1052464632366938E-3</v>
      </c>
      <c r="F105" t="str">
        <f t="shared" si="9"/>
        <v/>
      </c>
    </row>
    <row r="106" spans="1:6" x14ac:dyDescent="0.3">
      <c r="A106" t="s">
        <v>105</v>
      </c>
      <c r="B106">
        <f t="shared" si="6"/>
        <v>2033</v>
      </c>
      <c r="C106">
        <f t="shared" si="7"/>
        <v>5</v>
      </c>
      <c r="D106">
        <f t="shared" si="8"/>
        <v>6</v>
      </c>
      <c r="E106">
        <f t="shared" si="10"/>
        <v>5.4107230693556324E-3</v>
      </c>
      <c r="F106" t="str">
        <f t="shared" si="9"/>
        <v/>
      </c>
    </row>
    <row r="107" spans="1:6" x14ac:dyDescent="0.3">
      <c r="A107" t="s">
        <v>106</v>
      </c>
      <c r="B107">
        <f t="shared" si="6"/>
        <v>3171</v>
      </c>
      <c r="C107">
        <f t="shared" si="7"/>
        <v>34</v>
      </c>
      <c r="D107">
        <f t="shared" si="8"/>
        <v>123</v>
      </c>
      <c r="E107">
        <f t="shared" si="10"/>
        <v>4.9511195206559444E-2</v>
      </c>
      <c r="F107" t="str">
        <f t="shared" si="9"/>
        <v/>
      </c>
    </row>
    <row r="108" spans="1:6" x14ac:dyDescent="0.3">
      <c r="A108" t="s">
        <v>107</v>
      </c>
      <c r="B108">
        <f t="shared" si="6"/>
        <v>12179</v>
      </c>
      <c r="C108">
        <f t="shared" si="7"/>
        <v>69</v>
      </c>
      <c r="D108">
        <f t="shared" si="8"/>
        <v>191</v>
      </c>
      <c r="E108">
        <f t="shared" si="10"/>
        <v>2.1348222349946631E-2</v>
      </c>
      <c r="F108" t="str">
        <f t="shared" si="9"/>
        <v/>
      </c>
    </row>
    <row r="109" spans="1:6" x14ac:dyDescent="0.3">
      <c r="A109" t="s">
        <v>108</v>
      </c>
      <c r="B109">
        <f t="shared" si="6"/>
        <v>21357</v>
      </c>
      <c r="C109">
        <f t="shared" si="7"/>
        <v>183</v>
      </c>
      <c r="D109">
        <f t="shared" si="8"/>
        <v>455</v>
      </c>
      <c r="E109">
        <f t="shared" si="10"/>
        <v>2.9873109519127219E-2</v>
      </c>
      <c r="F109" t="str">
        <f t="shared" si="9"/>
        <v/>
      </c>
    </row>
    <row r="110" spans="1:6" x14ac:dyDescent="0.3">
      <c r="A110" t="s">
        <v>109</v>
      </c>
      <c r="B110">
        <f t="shared" si="6"/>
        <v>24532</v>
      </c>
      <c r="C110">
        <f t="shared" si="7"/>
        <v>58</v>
      </c>
      <c r="D110">
        <f t="shared" si="8"/>
        <v>66</v>
      </c>
      <c r="E110">
        <f t="shared" si="10"/>
        <v>5.0546225338333603E-3</v>
      </c>
      <c r="F110" t="str">
        <f t="shared" si="9"/>
        <v/>
      </c>
    </row>
    <row r="111" spans="1:6" x14ac:dyDescent="0.3">
      <c r="A111" t="s">
        <v>110</v>
      </c>
      <c r="B111">
        <f t="shared" si="6"/>
        <v>5240</v>
      </c>
      <c r="C111">
        <f t="shared" si="7"/>
        <v>3</v>
      </c>
      <c r="D111">
        <f t="shared" si="8"/>
        <v>0</v>
      </c>
      <c r="E111">
        <f t="shared" si="10"/>
        <v>5.7251908396946567E-4</v>
      </c>
      <c r="F111" t="str">
        <f t="shared" si="9"/>
        <v/>
      </c>
    </row>
    <row r="112" spans="1:6" x14ac:dyDescent="0.3">
      <c r="A112" t="s">
        <v>111</v>
      </c>
      <c r="B112">
        <f>VALUE(MID(A112,FIND(",",A112)+1,FIND(",",A112,FIND(",",A112)+1)-FIND(",",A112)-1))</f>
        <v>3459</v>
      </c>
      <c r="C112">
        <f>VALUE(MID(A112,FIND(",",A112,FIND(",",A112)+1)+1,FIND(",",A112,FIND(",",A112,FIND(",",A112)+1)+1)-FIND(",",A112,FIND(",",A112)+1)-1))</f>
        <v>0</v>
      </c>
      <c r="D112">
        <f>VALUE(RIGHT(A112,LEN(A112)-FIND(",",A112,FIND(",",A112,FIND(",",A112)+1)+1)))</f>
        <v>23</v>
      </c>
      <c r="E112">
        <f t="shared" si="10"/>
        <v>6.6493206128938999E-3</v>
      </c>
      <c r="F112" t="str">
        <f t="shared" si="9"/>
        <v/>
      </c>
    </row>
    <row r="114" spans="2:5" x14ac:dyDescent="0.3">
      <c r="B114">
        <f>MAX(B2:B112)</f>
        <v>63346</v>
      </c>
      <c r="E114">
        <f>MAX(E2:E112)</f>
        <v>0.73235991698784464</v>
      </c>
    </row>
    <row r="115" spans="2:5" x14ac:dyDescent="0.3">
      <c r="E115">
        <f>MIN(E2:E112)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Shalit</dc:creator>
  <cp:lastModifiedBy>Gil Shalit</cp:lastModifiedBy>
  <dcterms:created xsi:type="dcterms:W3CDTF">2026-08-17T13:48:31Z</dcterms:created>
  <dcterms:modified xsi:type="dcterms:W3CDTF">2026-08-18T07:35:16Z</dcterms:modified>
</cp:coreProperties>
</file>